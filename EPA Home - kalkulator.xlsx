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furmann/Desktop/"/>
    </mc:Choice>
  </mc:AlternateContent>
  <xr:revisionPtr revIDLastSave="0" documentId="13_ncr:1_{985CC4DA-C343-094E-B9E2-93B9E3EDB472}" xr6:coauthVersionLast="47" xr6:coauthVersionMax="47" xr10:uidLastSave="{00000000-0000-0000-0000-000000000000}"/>
  <bookViews>
    <workbookView xWindow="0" yWindow="760" windowWidth="23260" windowHeight="13900" xr2:uid="{A069F89B-258A-47B9-ABC5-89F6C71C444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5" i="1"/>
  <c r="P5" i="1" s="1"/>
  <c r="Q5" i="1" s="1"/>
  <c r="AD6" i="1"/>
  <c r="AD7" i="1"/>
  <c r="AD8" i="1"/>
  <c r="AD9" i="1"/>
  <c r="AD10" i="1"/>
  <c r="AD11" i="1"/>
  <c r="AD12" i="1"/>
  <c r="AD13" i="1"/>
  <c r="AD14" i="1"/>
  <c r="AD15" i="1"/>
  <c r="AD16" i="1"/>
  <c r="AD5" i="1"/>
  <c r="AA5" i="1"/>
  <c r="AA6" i="1" l="1"/>
  <c r="AA8" i="1"/>
  <c r="AA9" i="1"/>
  <c r="AA10" i="1"/>
  <c r="AA11" i="1"/>
  <c r="AA12" i="1"/>
  <c r="AA13" i="1"/>
  <c r="AA14" i="1"/>
  <c r="AA15" i="1"/>
  <c r="AA16" i="1"/>
  <c r="AA7" i="1"/>
  <c r="B9" i="1"/>
  <c r="N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O5" i="1" l="1"/>
  <c r="R5" i="1"/>
  <c r="B11" i="1"/>
  <c r="B12" i="1" s="1"/>
  <c r="N15" i="1"/>
  <c r="R15" i="1" s="1"/>
  <c r="N7" i="1"/>
  <c r="N14" i="1"/>
  <c r="R14" i="1" s="1"/>
  <c r="N13" i="1"/>
  <c r="R13" i="1" s="1"/>
  <c r="N12" i="1"/>
  <c r="R12" i="1" s="1"/>
  <c r="N11" i="1"/>
  <c r="R11" i="1" s="1"/>
  <c r="N10" i="1"/>
  <c r="R10" i="1" s="1"/>
  <c r="N9" i="1"/>
  <c r="R9" i="1" s="1"/>
  <c r="N8" i="1"/>
  <c r="R8" i="1" s="1"/>
  <c r="N6" i="1"/>
  <c r="R6" i="1" s="1"/>
  <c r="N16" i="1"/>
  <c r="R16" i="1" s="1"/>
  <c r="O7" i="1" l="1"/>
  <c r="R7" i="1"/>
  <c r="S7" i="1" s="1"/>
  <c r="S10" i="1"/>
  <c r="T16" i="1"/>
  <c r="S16" i="1"/>
  <c r="T6" i="1"/>
  <c r="S6" i="1"/>
  <c r="T8" i="1"/>
  <c r="S8" i="1"/>
  <c r="T9" i="1"/>
  <c r="S9" i="1"/>
  <c r="T10" i="1"/>
  <c r="T11" i="1"/>
  <c r="S11" i="1"/>
  <c r="T12" i="1"/>
  <c r="S12" i="1"/>
  <c r="T13" i="1"/>
  <c r="S13" i="1"/>
  <c r="T15" i="1"/>
  <c r="S15" i="1"/>
  <c r="O15" i="1"/>
  <c r="O14" i="1"/>
  <c r="O8" i="1"/>
  <c r="O9" i="1"/>
  <c r="O16" i="1"/>
  <c r="O10" i="1"/>
  <c r="O11" i="1"/>
  <c r="O12" i="1"/>
  <c r="O6" i="1"/>
  <c r="O13" i="1"/>
  <c r="AB9" i="1" l="1"/>
  <c r="AB13" i="1"/>
  <c r="AB8" i="1"/>
  <c r="AB16" i="1"/>
  <c r="AF11" i="1"/>
  <c r="AE11" i="1"/>
  <c r="AE12" i="1"/>
  <c r="AF12" i="1"/>
  <c r="AF10" i="1"/>
  <c r="AE10" i="1"/>
  <c r="AF9" i="1"/>
  <c r="AE9" i="1"/>
  <c r="AF8" i="1"/>
  <c r="AE8" i="1"/>
  <c r="AF15" i="1"/>
  <c r="AE15" i="1"/>
  <c r="AF6" i="1"/>
  <c r="AE6" i="1"/>
  <c r="AF13" i="1"/>
  <c r="AE13" i="1"/>
  <c r="AE16" i="1"/>
  <c r="AF16" i="1"/>
  <c r="T7" i="1"/>
  <c r="AB7" i="1"/>
  <c r="T14" i="1"/>
  <c r="S14" i="1"/>
  <c r="T5" i="1"/>
  <c r="S5" i="1"/>
  <c r="AB5" i="1" s="1"/>
  <c r="AB12" i="1"/>
  <c r="AB15" i="1"/>
  <c r="AB6" i="1"/>
  <c r="AB11" i="1"/>
  <c r="AB10" i="1"/>
  <c r="AE5" i="1" l="1"/>
  <c r="AF5" i="1"/>
  <c r="AE14" i="1"/>
  <c r="AF14" i="1"/>
  <c r="AF7" i="1"/>
  <c r="AE7" i="1"/>
  <c r="AB14" i="1"/>
  <c r="AB18" i="1" s="1"/>
  <c r="AE18" i="1" l="1"/>
  <c r="AF18" i="1"/>
  <c r="AF19" i="1" l="1"/>
  <c r="AB21" i="1" s="1"/>
  <c r="B19" i="1" s="1"/>
  <c r="B20" i="1" l="1"/>
  <c r="AB22" i="1"/>
</calcChain>
</file>

<file path=xl/sharedStrings.xml><?xml version="1.0" encoding="utf-8"?>
<sst xmlns="http://schemas.openxmlformats.org/spreadsheetml/2006/main" count="63" uniqueCount="61">
  <si>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</si>
  <si>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</si>
  <si>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</si>
  <si>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</si>
  <si>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</si>
  <si>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</si>
  <si>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</si>
  <si>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</si>
  <si>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</si>
  <si>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</si>
  <si>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</si>
  <si>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</si>
  <si>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</si>
  <si>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południe</t>
  </si>
  <si>
    <t>zalecane użytkowanie</t>
  </si>
  <si>
    <t>normalne użytkowanie</t>
  </si>
  <si>
    <t>Zużycie [kWh]</t>
  </si>
  <si>
    <t>Kierunek dachu</t>
  </si>
  <si>
    <t>Moc PV [kWp]</t>
  </si>
  <si>
    <t>Rodzaj ogrzewania</t>
  </si>
  <si>
    <t>Stawka zmienna dystrybucja</t>
  </si>
  <si>
    <t>ME użyteczny [kWh]</t>
  </si>
  <si>
    <t>Poziom SZR [kWh]</t>
  </si>
  <si>
    <t>&lt;- wpisz zużycie</t>
  </si>
  <si>
    <t>&lt;- wpisz proponowaną moc PV</t>
  </si>
  <si>
    <t>Produkcja dzienna [kWh]</t>
  </si>
  <si>
    <t>Produkcja miesięczna [kWh]</t>
  </si>
  <si>
    <t>Ilość dni</t>
  </si>
  <si>
    <t>Zużycie miesięcznie [kWh]</t>
  </si>
  <si>
    <t>Średnie zużycie dzienne [kWh]</t>
  </si>
  <si>
    <t>Saldo energii miesięcznie [kWh]</t>
  </si>
  <si>
    <t>Średnia dzienna nadwyżka energii [kWh]</t>
  </si>
  <si>
    <t>Średni dzienny brak energii [kWh]</t>
  </si>
  <si>
    <t>Rozkład zużycia dla PC</t>
  </si>
  <si>
    <t>Dane historyczne</t>
  </si>
  <si>
    <t>Dane historyczne - Rynek Dnia Następnego</t>
  </si>
  <si>
    <t>Odsprzedaż energii w lato w najdroższych godzinach</t>
  </si>
  <si>
    <t>ZAROBIONE</t>
  </si>
  <si>
    <t>Zakup energii w 4 najtanszych godzinach</t>
  </si>
  <si>
    <t>ZAPŁACONE</t>
  </si>
  <si>
    <t>SUMA kosztów</t>
  </si>
  <si>
    <t>*nie uwzglednia nizszych cen RB - więc wylicza bardziej negatywny scenariusz</t>
  </si>
  <si>
    <t>Udział zużycia [%]</t>
  </si>
  <si>
    <t>&lt;- wpisz (na g14 dynamic sugerowane 0,047)</t>
  </si>
  <si>
    <t>&lt;- wpisz ile % magazynu zostawiamy na zasilanie awaryjne (min. 10%)</t>
  </si>
  <si>
    <t>&lt;- wpisz proponowaną pojemność ME (min. x4 zużycia)</t>
  </si>
  <si>
    <t>ŚREDNIO MIESIĘCZNIE</t>
  </si>
  <si>
    <t>SALDO ROCZNE</t>
  </si>
  <si>
    <t>ME [kWh]</t>
  </si>
  <si>
    <t>Średnia 4 najtańszych godzin [PLN/MWh]</t>
  </si>
  <si>
    <t>Średnia 4 najdroższych godzin [PLN/MWh]</t>
  </si>
  <si>
    <t>Średnioważona cena RDN [PLN/MWh]</t>
  </si>
  <si>
    <t>CZN (cena odkupu) [PLN/MWh]</t>
  </si>
  <si>
    <t>Wartość depozytu netto [zł]</t>
  </si>
  <si>
    <t>CSN= CEE+M+KPM+A+opłata systemowa [PLN/MWh]</t>
  </si>
  <si>
    <t>Wartość zakupu energii netto [zł]</t>
  </si>
  <si>
    <t>Koszty dystrybucji netto [zł]</t>
  </si>
  <si>
    <t>Taryfa G14 dynamic</t>
  </si>
  <si>
    <t>Produkcja [kWh]</t>
  </si>
  <si>
    <t>Udział produkcji [%]</t>
  </si>
  <si>
    <t>bez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</si>
</sst>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 &quot;zł&quot;"/>
    <numFmt numFmtId="166" formatCode="0.0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9.6"/>
      <color theme="1"/>
      <name val="Segoe UI"/>
      <family val="2"/>
      <charset val="238"/>
    </font>
    <font>
      <sz val="9.6"/>
      <color theme="1"/>
      <name val="Segoe UI"/>
      <family val="2"/>
      <charset val="238"/>
    </font>
    <font>
      <b/>
      <sz val="9.6"/>
      <color theme="1"/>
      <name val="Segoe UI"/>
      <family val="2"/>
      <charset val="238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9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0" fillId="4" borderId="1" xfId="0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 applyProtection="1">
      <alignment horizontal="center"/>
      <protection hidden="1"/>
    </xf>
    <xf numFmtId="1" fontId="3" fillId="5" borderId="0" xfId="0" applyNumberFormat="1" applyFont="1" applyFill="1" applyAlignment="1" applyProtection="1">
      <alignment horizontal="center" vertical="center" wrapText="1"/>
      <protection hidden="1"/>
    </xf>
    <xf numFmtId="0" fontId="0" fillId="5" borderId="0" xfId="0" applyFill="1" applyProtection="1">
      <protection hidden="1"/>
    </xf>
    <xf numFmtId="9" fontId="0" fillId="0" borderId="1" xfId="1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164" fontId="3" fillId="0" borderId="1" xfId="1" applyNumberFormat="1" applyFont="1" applyBorder="1" applyAlignment="1" applyProtection="1">
      <alignment horizontal="center" vertical="center" wrapText="1"/>
      <protection hidden="1"/>
    </xf>
    <xf numFmtId="164" fontId="3" fillId="0" borderId="2" xfId="1" applyNumberFormat="1" applyFont="1" applyBorder="1" applyAlignment="1" applyProtection="1">
      <alignment horizontal="center" vertical="center" wrapText="1"/>
      <protection hidden="1"/>
    </xf>
    <xf numFmtId="1" fontId="0" fillId="0" borderId="3" xfId="0" applyNumberFormat="1" applyBorder="1" applyAlignment="1" applyProtection="1">
      <alignment horizontal="center"/>
      <protection hidden="1"/>
    </xf>
    <xf numFmtId="166" fontId="0" fillId="0" borderId="2" xfId="0" applyNumberFormat="1" applyBorder="1" applyAlignment="1" applyProtection="1">
      <alignment horizontal="center"/>
      <protection hidden="1"/>
    </xf>
    <xf numFmtId="166" fontId="0" fillId="0" borderId="1" xfId="0" applyNumberFormat="1" applyBorder="1" applyAlignment="1" applyProtection="1">
      <alignment horizontal="center"/>
      <protection hidden="1"/>
    </xf>
    <xf numFmtId="17" fontId="0" fillId="0" borderId="1" xfId="0" applyNumberForma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1" fontId="3" fillId="0" borderId="1" xfId="0" applyNumberFormat="1" applyFont="1" applyBorder="1" applyAlignment="1" applyProtection="1">
      <alignment horizontal="center" vertical="center" wrapText="1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1" fillId="6" borderId="1" xfId="0" applyFont="1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165" fontId="7" fillId="0" borderId="1" xfId="0" applyNumberFormat="1" applyFont="1" applyBorder="1" applyAlignment="1" applyProtection="1">
      <alignment horizontal="center"/>
      <protection hidden="1"/>
    </xf>
    <xf numFmtId="165" fontId="6" fillId="0" borderId="1" xfId="0" applyNumberFormat="1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8" fillId="5" borderId="0" xfId="0" applyFont="1" applyFill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5" fillId="5" borderId="0" xfId="0" applyFont="1" applyFill="1" applyAlignment="1" applyProtection="1">
      <alignment horizontal="center" vertical="center" wrapText="1"/>
      <protection hidden="1"/>
    </xf>
    <xf numFmtId="0" fontId="0" fillId="5" borderId="0" xfId="0" applyFill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 applyProtection="1">
      <alignment horizontal="center" vertical="center" wrapText="1"/>
      <protection hidden="1"/>
    </xf>
    <xf numFmtId="0" fontId="9" fillId="3" borderId="2" xfId="0" applyFont="1" applyFill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10" fillId="7" borderId="1" xfId="0" applyFont="1" applyFill="1" applyBorder="1" applyAlignment="1" applyProtection="1">
      <alignment horizontal="center" vertical="center"/>
      <protection hidden="1"/>
    </xf>
    <xf numFmtId="165" fontId="11" fillId="0" borderId="1" xfId="0" applyNumberFormat="1" applyFont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</cellXfs>
  <cellStyles count="2">
    <cellStyle name="Normalny" xfId="0" builtinId="0"/>
    <cellStyle name="Procentowy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D9D-0C4D-4DCC-ADBB-E40FCA7105EC}">
  <dimension ref="A1:AG23"/>
  <sheetViews>
    <sheetView showGridLines="0" tabSelected="1" zoomScaleNormal="150" workbookViewId="0">
      <selection activeCell="G18" sqref="G18"/>
    </sheetView>
  </sheetViews>
  <sheetFormatPr baseColWidth="10" defaultColWidth="0" defaultRowHeight="15" zeroHeight="1" x14ac:dyDescent="0.2"/>
  <cols>
    <col min="1" max="1" width="25.83203125" style="19" customWidth="1"/>
    <col min="2" max="2" width="15.83203125" style="19" customWidth="1"/>
    <col min="3" max="7" width="8.83203125" style="6" customWidth="1"/>
    <col min="8" max="8" width="12.83203125" style="6" customWidth="1"/>
    <col min="9" max="9" width="8.83203125" style="19" hidden="1" customWidth="1"/>
    <col min="10" max="10" width="3.5" style="19" hidden="1" customWidth="1"/>
    <col min="11" max="11" width="10.83203125" style="19" bestFit="1" customWidth="1"/>
    <col min="12" max="12" width="9.33203125" style="19" customWidth="1"/>
    <col min="13" max="13" width="7.83203125" style="19" customWidth="1"/>
    <col min="14" max="14" width="10.5" style="19" customWidth="1"/>
    <col min="15" max="15" width="9.5" style="27" customWidth="1"/>
    <col min="16" max="16" width="10.83203125" style="19" customWidth="1"/>
    <col min="17" max="17" width="7.83203125" style="19" customWidth="1"/>
    <col min="18" max="18" width="10.83203125" style="19" customWidth="1"/>
    <col min="19" max="19" width="9.33203125" style="19" customWidth="1"/>
    <col min="20" max="20" width="8.33203125" style="19" customWidth="1"/>
    <col min="21" max="21" width="4.1640625" style="6" customWidth="1"/>
    <col min="22" max="22" width="10.6640625" style="19" customWidth="1"/>
    <col min="23" max="24" width="12.1640625" style="19" customWidth="1"/>
    <col min="25" max="25" width="11.1640625" style="19" customWidth="1"/>
    <col min="26" max="26" width="2.6640625" style="6" customWidth="1"/>
    <col min="27" max="27" width="11.83203125" style="19" customWidth="1"/>
    <col min="28" max="28" width="13.83203125" style="19" customWidth="1"/>
    <col min="29" max="29" width="3" style="6" customWidth="1"/>
    <col min="30" max="30" width="11.6640625" style="19" customWidth="1"/>
    <col min="31" max="31" width="9.6640625" style="19" customWidth="1"/>
    <col min="32" max="32" width="10.33203125" style="19" customWidth="1"/>
    <col min="33" max="33" width="3.83203125" style="6" customWidth="1"/>
    <col min="34" max="16384" width="8.83203125" style="19" hidden="1"/>
  </cols>
  <sheetData>
    <row r="1" spans="1:33" s="30" customFormat="1" x14ac:dyDescent="0.2">
      <c r="I1" s="19"/>
      <c r="J1" s="19"/>
      <c r="K1" s="6"/>
      <c r="L1" s="6"/>
      <c r="M1" s="6"/>
      <c r="Q1" s="6"/>
      <c r="R1" s="6"/>
      <c r="S1" s="6"/>
      <c r="T1" s="6"/>
      <c r="W1" s="6" t="s">
        <v>41</v>
      </c>
    </row>
    <row r="2" spans="1:33" x14ac:dyDescent="0.2">
      <c r="A2" s="31"/>
      <c r="B2" s="6"/>
      <c r="K2" s="6"/>
      <c r="L2" s="6"/>
      <c r="M2" s="6"/>
      <c r="N2" s="6"/>
      <c r="O2" s="23"/>
      <c r="P2" s="6"/>
      <c r="Q2" s="6"/>
      <c r="R2" s="6"/>
      <c r="S2" s="6"/>
      <c r="T2" s="6"/>
      <c r="V2" s="6"/>
      <c r="W2" s="45" t="s">
        <v>35</v>
      </c>
      <c r="X2" s="45"/>
      <c r="Y2" s="45"/>
      <c r="AA2" s="45" t="s">
        <v>36</v>
      </c>
      <c r="AB2" s="45"/>
      <c r="AD2" s="45" t="s">
        <v>38</v>
      </c>
      <c r="AE2" s="45"/>
      <c r="AF2" s="45"/>
    </row>
    <row r="3" spans="1:33" x14ac:dyDescent="0.2">
      <c r="A3" s="5"/>
      <c r="B3" s="6"/>
      <c r="K3" s="6"/>
      <c r="L3" s="6"/>
      <c r="M3" s="6"/>
      <c r="N3" s="6"/>
      <c r="O3" s="23"/>
      <c r="P3" s="6"/>
      <c r="Q3" s="6"/>
      <c r="R3" s="6"/>
      <c r="S3" s="6"/>
      <c r="T3" s="6"/>
      <c r="V3" s="30"/>
      <c r="W3" s="45"/>
      <c r="X3" s="45"/>
      <c r="Y3" s="45"/>
      <c r="Z3" s="30"/>
      <c r="AA3" s="45"/>
      <c r="AB3" s="45"/>
      <c r="AC3" s="30"/>
      <c r="AD3" s="45"/>
      <c r="AE3" s="45"/>
      <c r="AF3" s="45"/>
    </row>
    <row r="4" spans="1:33" s="41" customFormat="1" ht="78" customHeight="1" x14ac:dyDescent="0.2">
      <c r="A4" s="5"/>
      <c r="B4" s="32"/>
      <c r="C4" s="32"/>
      <c r="D4" s="32"/>
      <c r="E4" s="32"/>
      <c r="F4" s="32"/>
      <c r="G4" s="32"/>
      <c r="H4" s="32"/>
      <c r="I4" s="33" t="s">
        <v>33</v>
      </c>
      <c r="J4" s="33" t="s">
        <v>27</v>
      </c>
      <c r="K4" s="9" t="s">
        <v>0</v>
      </c>
      <c r="L4" s="9" t="s">
        <v>59</v>
      </c>
      <c r="M4" s="34" t="s">
        <v>42</v>
      </c>
      <c r="N4" s="35" t="s">
        <v>26</v>
      </c>
      <c r="O4" s="36" t="s">
        <v>25</v>
      </c>
      <c r="P4" s="37" t="s">
        <v>28</v>
      </c>
      <c r="Q4" s="38" t="s">
        <v>29</v>
      </c>
      <c r="R4" s="39" t="s">
        <v>30</v>
      </c>
      <c r="S4" s="40" t="s">
        <v>31</v>
      </c>
      <c r="T4" s="40" t="s">
        <v>32</v>
      </c>
      <c r="U4" s="32"/>
      <c r="V4" s="40" t="s">
        <v>34</v>
      </c>
      <c r="W4" s="9" t="s">
        <v>49</v>
      </c>
      <c r="X4" s="9" t="s">
        <v>50</v>
      </c>
      <c r="Y4" s="9" t="s">
        <v>51</v>
      </c>
      <c r="Z4" s="32"/>
      <c r="AA4" s="9" t="s">
        <v>52</v>
      </c>
      <c r="AB4" s="9" t="s">
        <v>53</v>
      </c>
      <c r="AC4" s="32"/>
      <c r="AD4" s="9" t="s">
        <v>54</v>
      </c>
      <c r="AE4" s="9" t="s">
        <v>55</v>
      </c>
      <c r="AF4" s="9" t="s">
        <v>56</v>
      </c>
      <c r="AG4" s="32"/>
    </row>
    <row r="5" spans="1:33" x14ac:dyDescent="0.2">
      <c r="A5" s="21" t="s">
        <v>19</v>
      </c>
      <c r="B5" s="1" t="s">
        <v>60</v>
      </c>
      <c r="I5" s="7">
        <v>0.14000000000000001</v>
      </c>
      <c r="J5" s="8">
        <v>31</v>
      </c>
      <c r="K5" s="9" t="s">
        <v>1</v>
      </c>
      <c r="L5" s="10">
        <v>2.016501091153217E-2</v>
      </c>
      <c r="M5" s="11">
        <f>IF($B$5="bez PC",($B$6/365*J5)/$B$6,I5)</f>
        <v>8.4931506849315067E-2</v>
      </c>
      <c r="N5" s="12">
        <f t="shared" ref="N5:N16" si="0">L5*$B$9</f>
        <v>105.8663072855439</v>
      </c>
      <c r="O5" s="13">
        <f>N5/J5</f>
        <v>3.4150421705014162</v>
      </c>
      <c r="P5" s="12">
        <f>$B$6*M5</f>
        <v>424.65753424657532</v>
      </c>
      <c r="Q5" s="13">
        <f>P5/J5</f>
        <v>13.698630136986301</v>
      </c>
      <c r="R5" s="12">
        <f>N5-P5</f>
        <v>-318.79122696103144</v>
      </c>
      <c r="S5" s="14" t="str">
        <f t="shared" ref="S5:S16" si="1">IF((R5/J5)&lt;0,"",IF((R5/J5)&gt;$B$12,$B$12,(R5/J5)))</f>
        <v/>
      </c>
      <c r="T5" s="14">
        <f t="shared" ref="T5:T16" si="2">IF((R5/J5)&gt;0,"",IF((R5/J5)&gt;$B$12,$B$12,(R5/J5)))</f>
        <v>-10.283587966484886</v>
      </c>
      <c r="V5" s="15">
        <v>45658</v>
      </c>
      <c r="W5" s="20">
        <v>384.36</v>
      </c>
      <c r="X5" s="20">
        <v>629.35</v>
      </c>
      <c r="Y5" s="20">
        <v>510.37</v>
      </c>
      <c r="AA5" s="17">
        <f>X5*0.85-80</f>
        <v>454.94749999999999</v>
      </c>
      <c r="AB5" s="17" t="str">
        <f t="shared" ref="AB5:AB16" si="3">IF(S5="","",S5*J5*AA5/1000)</f>
        <v/>
      </c>
      <c r="AD5" s="18">
        <f>W5*1.05+29+5+132</f>
        <v>569.57799999999997</v>
      </c>
      <c r="AE5" s="17">
        <f>IF(T5="","",(-T5)*J5*AD5/1000)</f>
        <v>181.57646947001038</v>
      </c>
      <c r="AF5" s="17">
        <f t="shared" ref="AF5:AF16" si="4">IF(T5="",(16.01+4.56+10.34+0.33),(16.01+4.56+10.34+0.33)+$B$13*(-T5)*J5)</f>
        <v>66.307034965713456</v>
      </c>
    </row>
    <row r="6" spans="1:33" x14ac:dyDescent="0.2">
      <c r="A6" s="21" t="s">
        <v>16</v>
      </c>
      <c r="B6" s="1">
        <v>5000</v>
      </c>
      <c r="C6" s="28" t="s">
        <v>23</v>
      </c>
      <c r="I6" s="7">
        <v>0.13</v>
      </c>
      <c r="J6" s="8">
        <v>28</v>
      </c>
      <c r="K6" s="9" t="s">
        <v>2</v>
      </c>
      <c r="L6" s="10">
        <v>4.327469158701816E-2</v>
      </c>
      <c r="M6" s="11">
        <f t="shared" ref="M6:M16" si="5">IF($B$5="bez PC",($B$6/365*J6)/$B$6,I6)</f>
        <v>7.6712328767123292E-2</v>
      </c>
      <c r="N6" s="12">
        <f t="shared" si="0"/>
        <v>227.19213083184533</v>
      </c>
      <c r="O6" s="13">
        <f t="shared" ref="O6:O16" si="6">N6/J6</f>
        <v>8.1140046725659047</v>
      </c>
      <c r="P6" s="12">
        <f t="shared" ref="P6:P16" si="7">$B$6*M6</f>
        <v>383.56164383561645</v>
      </c>
      <c r="Q6" s="13">
        <f t="shared" ref="Q6:Q16" si="8">P6/J6</f>
        <v>13.698630136986301</v>
      </c>
      <c r="R6" s="12">
        <f t="shared" ref="R6:R16" si="9">N6-P6</f>
        <v>-156.36951300377112</v>
      </c>
      <c r="S6" s="14" t="str">
        <f t="shared" si="1"/>
        <v/>
      </c>
      <c r="T6" s="14">
        <f t="shared" si="2"/>
        <v>-5.5846254644203972</v>
      </c>
      <c r="V6" s="15">
        <v>45689</v>
      </c>
      <c r="W6" s="20">
        <v>461.54</v>
      </c>
      <c r="X6" s="20">
        <v>735.13</v>
      </c>
      <c r="Y6" s="20">
        <v>557.41</v>
      </c>
      <c r="AA6" s="17">
        <f t="shared" ref="AA6:AA16" si="10">X6*0.85-80</f>
        <v>544.8605</v>
      </c>
      <c r="AB6" s="17" t="str">
        <f t="shared" si="3"/>
        <v/>
      </c>
      <c r="AD6" s="18">
        <f t="shared" ref="AD6:AD16" si="11">W6*1.05+29+5+132</f>
        <v>650.61699999999996</v>
      </c>
      <c r="AE6" s="17">
        <f t="shared" ref="AE6:AE16" si="12">IF(T6="","",(-T6)*J6*AD6/1000)</f>
        <v>101.73666344197456</v>
      </c>
      <c r="AF6" s="17">
        <f t="shared" si="4"/>
        <v>48.440646430414823</v>
      </c>
    </row>
    <row r="7" spans="1:33" x14ac:dyDescent="0.2">
      <c r="A7" s="21" t="s">
        <v>18</v>
      </c>
      <c r="B7" s="2">
        <v>5</v>
      </c>
      <c r="C7" s="28" t="s">
        <v>24</v>
      </c>
      <c r="I7" s="7">
        <v>0.11</v>
      </c>
      <c r="J7" s="8">
        <v>31</v>
      </c>
      <c r="K7" s="9" t="s">
        <v>3</v>
      </c>
      <c r="L7" s="10">
        <v>9.1127604444255453E-2</v>
      </c>
      <c r="M7" s="11">
        <f t="shared" si="5"/>
        <v>8.4931506849315067E-2</v>
      </c>
      <c r="N7" s="12">
        <f t="shared" si="0"/>
        <v>478.41992333234111</v>
      </c>
      <c r="O7" s="13">
        <f>N7/J7</f>
        <v>15.432900752656165</v>
      </c>
      <c r="P7" s="12">
        <f t="shared" si="7"/>
        <v>424.65753424657532</v>
      </c>
      <c r="Q7" s="13">
        <f t="shared" si="8"/>
        <v>13.698630136986301</v>
      </c>
      <c r="R7" s="12">
        <f t="shared" si="9"/>
        <v>53.76238908576579</v>
      </c>
      <c r="S7" s="14">
        <f t="shared" si="1"/>
        <v>1.7342706156698642</v>
      </c>
      <c r="T7" s="14" t="str">
        <f t="shared" si="2"/>
        <v/>
      </c>
      <c r="V7" s="15">
        <v>45717</v>
      </c>
      <c r="W7" s="20">
        <v>196.8</v>
      </c>
      <c r="X7" s="20">
        <v>643.08000000000004</v>
      </c>
      <c r="Y7" s="20">
        <v>408.38</v>
      </c>
      <c r="AA7" s="17">
        <f t="shared" si="10"/>
        <v>466.61800000000005</v>
      </c>
      <c r="AB7" s="17">
        <f t="shared" si="3"/>
        <v>25.086498470421862</v>
      </c>
      <c r="AD7" s="18">
        <f t="shared" si="11"/>
        <v>372.64</v>
      </c>
      <c r="AE7" s="17" t="str">
        <f t="shared" si="12"/>
        <v/>
      </c>
      <c r="AF7" s="17">
        <f t="shared" si="4"/>
        <v>31.24</v>
      </c>
    </row>
    <row r="8" spans="1:33" x14ac:dyDescent="0.2">
      <c r="A8" s="21" t="s">
        <v>17</v>
      </c>
      <c r="B8" s="1" t="s">
        <v>13</v>
      </c>
      <c r="I8" s="7">
        <v>0.08</v>
      </c>
      <c r="J8" s="8">
        <v>30</v>
      </c>
      <c r="K8" s="9" t="s">
        <v>4</v>
      </c>
      <c r="L8" s="10">
        <v>9.7916418892931414E-2</v>
      </c>
      <c r="M8" s="11">
        <f t="shared" si="5"/>
        <v>8.2191780821917804E-2</v>
      </c>
      <c r="N8" s="12">
        <f t="shared" si="0"/>
        <v>514.06119918788988</v>
      </c>
      <c r="O8" s="13">
        <f t="shared" si="6"/>
        <v>17.135373306262995</v>
      </c>
      <c r="P8" s="12">
        <f t="shared" si="7"/>
        <v>410.95890410958901</v>
      </c>
      <c r="Q8" s="13">
        <f t="shared" si="8"/>
        <v>13.698630136986301</v>
      </c>
      <c r="R8" s="12">
        <f t="shared" si="9"/>
        <v>103.10229507830087</v>
      </c>
      <c r="S8" s="14">
        <f t="shared" si="1"/>
        <v>3.4367431692766957</v>
      </c>
      <c r="T8" s="14" t="str">
        <f t="shared" si="2"/>
        <v/>
      </c>
      <c r="V8" s="15">
        <v>45748</v>
      </c>
      <c r="W8" s="20">
        <v>142.87</v>
      </c>
      <c r="X8" s="20">
        <v>606.91</v>
      </c>
      <c r="Y8" s="20">
        <v>386.09</v>
      </c>
      <c r="AA8" s="17">
        <f t="shared" si="10"/>
        <v>435.87349999999992</v>
      </c>
      <c r="AB8" s="17">
        <f t="shared" si="3"/>
        <v>44.939558213811765</v>
      </c>
      <c r="AD8" s="18">
        <f t="shared" si="11"/>
        <v>316.01350000000002</v>
      </c>
      <c r="AE8" s="17" t="str">
        <f t="shared" si="12"/>
        <v/>
      </c>
      <c r="AF8" s="17">
        <f t="shared" si="4"/>
        <v>31.24</v>
      </c>
    </row>
    <row r="9" spans="1:33" x14ac:dyDescent="0.2">
      <c r="A9" s="21" t="s">
        <v>58</v>
      </c>
      <c r="B9" s="8">
        <f>IF(B8="południe",B7*1050,B7*900)</f>
        <v>5250</v>
      </c>
      <c r="I9" s="7">
        <v>0.05</v>
      </c>
      <c r="J9" s="8">
        <v>31</v>
      </c>
      <c r="K9" s="9" t="s">
        <v>5</v>
      </c>
      <c r="L9" s="10">
        <v>0.13201581412708166</v>
      </c>
      <c r="M9" s="11">
        <f t="shared" si="5"/>
        <v>8.4931506849315067E-2</v>
      </c>
      <c r="N9" s="12">
        <f t="shared" si="0"/>
        <v>693.08302416717868</v>
      </c>
      <c r="O9" s="13">
        <f t="shared" si="6"/>
        <v>22.357516908618667</v>
      </c>
      <c r="P9" s="12">
        <f t="shared" si="7"/>
        <v>424.65753424657532</v>
      </c>
      <c r="Q9" s="13">
        <f t="shared" si="8"/>
        <v>13.698630136986301</v>
      </c>
      <c r="R9" s="12">
        <f t="shared" si="9"/>
        <v>268.42548992060335</v>
      </c>
      <c r="S9" s="14">
        <f t="shared" si="1"/>
        <v>4.5</v>
      </c>
      <c r="T9" s="14" t="str">
        <f t="shared" si="2"/>
        <v/>
      </c>
      <c r="V9" s="15">
        <v>45778</v>
      </c>
      <c r="W9" s="16">
        <v>197.52</v>
      </c>
      <c r="X9" s="16">
        <v>683.2</v>
      </c>
      <c r="Y9" s="16"/>
      <c r="AA9" s="17">
        <f t="shared" si="10"/>
        <v>500.72</v>
      </c>
      <c r="AB9" s="17">
        <f t="shared" si="3"/>
        <v>69.850440000000006</v>
      </c>
      <c r="AD9" s="18">
        <f t="shared" si="11"/>
        <v>373.39600000000002</v>
      </c>
      <c r="AE9" s="17" t="str">
        <f t="shared" si="12"/>
        <v/>
      </c>
      <c r="AF9" s="17">
        <f t="shared" si="4"/>
        <v>31.24</v>
      </c>
    </row>
    <row r="10" spans="1:33" x14ac:dyDescent="0.2">
      <c r="A10" s="21" t="s">
        <v>48</v>
      </c>
      <c r="B10" s="1">
        <v>5</v>
      </c>
      <c r="C10" s="28" t="s">
        <v>45</v>
      </c>
      <c r="I10" s="7">
        <v>0.03</v>
      </c>
      <c r="J10" s="8">
        <v>30</v>
      </c>
      <c r="K10" s="9" t="s">
        <v>6</v>
      </c>
      <c r="L10" s="10">
        <v>0.13999992861247956</v>
      </c>
      <c r="M10" s="11">
        <f t="shared" si="5"/>
        <v>8.2191780821917804E-2</v>
      </c>
      <c r="N10" s="12">
        <f t="shared" si="0"/>
        <v>734.99962521551765</v>
      </c>
      <c r="O10" s="13">
        <f t="shared" si="6"/>
        <v>24.499987507183921</v>
      </c>
      <c r="P10" s="12">
        <f t="shared" si="7"/>
        <v>410.95890410958901</v>
      </c>
      <c r="Q10" s="13">
        <f t="shared" si="8"/>
        <v>13.698630136986301</v>
      </c>
      <c r="R10" s="12">
        <f t="shared" si="9"/>
        <v>324.04072110592864</v>
      </c>
      <c r="S10" s="14">
        <f t="shared" si="1"/>
        <v>4.5</v>
      </c>
      <c r="T10" s="14" t="str">
        <f t="shared" si="2"/>
        <v/>
      </c>
      <c r="V10" s="15">
        <v>45809</v>
      </c>
      <c r="W10" s="16">
        <v>79.650000000000006</v>
      </c>
      <c r="X10" s="16">
        <v>777.18</v>
      </c>
      <c r="Y10" s="16"/>
      <c r="AA10" s="17">
        <f t="shared" si="10"/>
        <v>580.60299999999995</v>
      </c>
      <c r="AB10" s="17">
        <f t="shared" si="3"/>
        <v>78.381405000000001</v>
      </c>
      <c r="AD10" s="18">
        <f t="shared" si="11"/>
        <v>249.63249999999999</v>
      </c>
      <c r="AE10" s="17" t="str">
        <f t="shared" si="12"/>
        <v/>
      </c>
      <c r="AF10" s="17">
        <f t="shared" si="4"/>
        <v>31.24</v>
      </c>
    </row>
    <row r="11" spans="1:33" x14ac:dyDescent="0.2">
      <c r="A11" s="21" t="s">
        <v>22</v>
      </c>
      <c r="B11" s="29">
        <f>B10*C11</f>
        <v>0.5</v>
      </c>
      <c r="C11" s="3">
        <v>0.1</v>
      </c>
      <c r="D11" s="28" t="s">
        <v>44</v>
      </c>
      <c r="I11" s="7">
        <v>0.03</v>
      </c>
      <c r="J11" s="8">
        <v>31</v>
      </c>
      <c r="K11" s="9" t="s">
        <v>7</v>
      </c>
      <c r="L11" s="10">
        <v>0.13599138641161823</v>
      </c>
      <c r="M11" s="11">
        <f t="shared" si="5"/>
        <v>8.4931506849315067E-2</v>
      </c>
      <c r="N11" s="12">
        <f t="shared" si="0"/>
        <v>713.95477866099577</v>
      </c>
      <c r="O11" s="13">
        <f t="shared" si="6"/>
        <v>23.030799311645026</v>
      </c>
      <c r="P11" s="12">
        <f t="shared" si="7"/>
        <v>424.65753424657532</v>
      </c>
      <c r="Q11" s="13">
        <f t="shared" si="8"/>
        <v>13.698630136986301</v>
      </c>
      <c r="R11" s="12">
        <f t="shared" si="9"/>
        <v>289.29724441442045</v>
      </c>
      <c r="S11" s="14">
        <f t="shared" si="1"/>
        <v>4.5</v>
      </c>
      <c r="T11" s="14" t="str">
        <f t="shared" si="2"/>
        <v/>
      </c>
      <c r="V11" s="15">
        <v>45839</v>
      </c>
      <c r="W11" s="16">
        <v>293.02</v>
      </c>
      <c r="X11" s="16">
        <v>699.54</v>
      </c>
      <c r="Y11" s="16"/>
      <c r="AA11" s="17">
        <f t="shared" si="10"/>
        <v>514.60899999999992</v>
      </c>
      <c r="AB11" s="17">
        <f t="shared" si="3"/>
        <v>71.787955499999995</v>
      </c>
      <c r="AD11" s="18">
        <f t="shared" si="11"/>
        <v>473.67099999999999</v>
      </c>
      <c r="AE11" s="17" t="str">
        <f t="shared" si="12"/>
        <v/>
      </c>
      <c r="AF11" s="17">
        <f t="shared" si="4"/>
        <v>31.24</v>
      </c>
    </row>
    <row r="12" spans="1:33" x14ac:dyDescent="0.2">
      <c r="A12" s="21" t="s">
        <v>21</v>
      </c>
      <c r="B12" s="29">
        <f>B10-B11</f>
        <v>4.5</v>
      </c>
      <c r="I12" s="7">
        <v>0.03</v>
      </c>
      <c r="J12" s="8">
        <v>31</v>
      </c>
      <c r="K12" s="9" t="s">
        <v>8</v>
      </c>
      <c r="L12" s="10">
        <v>0.11407572286709665</v>
      </c>
      <c r="M12" s="11">
        <f t="shared" si="5"/>
        <v>8.4931506849315067E-2</v>
      </c>
      <c r="N12" s="12">
        <f t="shared" si="0"/>
        <v>598.89754505225744</v>
      </c>
      <c r="O12" s="13">
        <f t="shared" si="6"/>
        <v>19.319275646847014</v>
      </c>
      <c r="P12" s="12">
        <f t="shared" si="7"/>
        <v>424.65753424657532</v>
      </c>
      <c r="Q12" s="13">
        <f t="shared" si="8"/>
        <v>13.698630136986301</v>
      </c>
      <c r="R12" s="12">
        <f t="shared" si="9"/>
        <v>174.24001080568212</v>
      </c>
      <c r="S12" s="14">
        <f t="shared" si="1"/>
        <v>4.5</v>
      </c>
      <c r="T12" s="14" t="str">
        <f t="shared" si="2"/>
        <v/>
      </c>
      <c r="V12" s="15">
        <v>45870</v>
      </c>
      <c r="W12" s="16">
        <v>177.94</v>
      </c>
      <c r="X12" s="16">
        <v>641.89</v>
      </c>
      <c r="Y12" s="16"/>
      <c r="AA12" s="17">
        <f t="shared" si="10"/>
        <v>465.60649999999998</v>
      </c>
      <c r="AB12" s="17">
        <f t="shared" si="3"/>
        <v>64.952106749999999</v>
      </c>
      <c r="AD12" s="18">
        <f t="shared" si="11"/>
        <v>352.83699999999999</v>
      </c>
      <c r="AE12" s="17" t="str">
        <f t="shared" si="12"/>
        <v/>
      </c>
      <c r="AF12" s="17">
        <f t="shared" si="4"/>
        <v>31.24</v>
      </c>
    </row>
    <row r="13" spans="1:33" x14ac:dyDescent="0.2">
      <c r="A13" s="21" t="s">
        <v>20</v>
      </c>
      <c r="B13" s="1">
        <v>0.11</v>
      </c>
      <c r="C13" s="28" t="s">
        <v>43</v>
      </c>
      <c r="I13" s="7">
        <v>0.04</v>
      </c>
      <c r="J13" s="8">
        <v>30</v>
      </c>
      <c r="K13" s="9" t="s">
        <v>9</v>
      </c>
      <c r="L13" s="10">
        <v>9.8382265499981553E-2</v>
      </c>
      <c r="M13" s="11">
        <f t="shared" si="5"/>
        <v>8.2191780821917804E-2</v>
      </c>
      <c r="N13" s="12">
        <f t="shared" si="0"/>
        <v>516.5068938749032</v>
      </c>
      <c r="O13" s="13">
        <f t="shared" si="6"/>
        <v>17.216896462496774</v>
      </c>
      <c r="P13" s="12">
        <f t="shared" si="7"/>
        <v>410.95890410958901</v>
      </c>
      <c r="Q13" s="13">
        <f t="shared" si="8"/>
        <v>13.698630136986301</v>
      </c>
      <c r="R13" s="12">
        <f t="shared" si="9"/>
        <v>105.54798976531418</v>
      </c>
      <c r="S13" s="14">
        <f t="shared" si="1"/>
        <v>3.5182663255104729</v>
      </c>
      <c r="T13" s="14" t="str">
        <f t="shared" si="2"/>
        <v/>
      </c>
      <c r="V13" s="15">
        <v>45901</v>
      </c>
      <c r="W13" s="16">
        <v>263.08</v>
      </c>
      <c r="X13" s="16">
        <v>842.14</v>
      </c>
      <c r="Y13" s="16"/>
      <c r="AA13" s="17">
        <f t="shared" si="10"/>
        <v>635.81899999999996</v>
      </c>
      <c r="AB13" s="17">
        <f t="shared" si="3"/>
        <v>67.109417304592299</v>
      </c>
      <c r="AD13" s="18">
        <f t="shared" si="11"/>
        <v>442.23399999999998</v>
      </c>
      <c r="AE13" s="17" t="str">
        <f t="shared" si="12"/>
        <v/>
      </c>
      <c r="AF13" s="17">
        <f t="shared" si="4"/>
        <v>31.24</v>
      </c>
    </row>
    <row r="14" spans="1:33" x14ac:dyDescent="0.2">
      <c r="A14" s="5"/>
      <c r="B14" s="6"/>
      <c r="I14" s="7">
        <v>0.08</v>
      </c>
      <c r="J14" s="8">
        <v>31</v>
      </c>
      <c r="K14" s="9" t="s">
        <v>10</v>
      </c>
      <c r="L14" s="10">
        <v>7.9340413088842654E-2</v>
      </c>
      <c r="M14" s="11">
        <f t="shared" si="5"/>
        <v>8.4931506849315067E-2</v>
      </c>
      <c r="N14" s="12">
        <f t="shared" si="0"/>
        <v>416.53716871642393</v>
      </c>
      <c r="O14" s="13">
        <f t="shared" si="6"/>
        <v>13.436682861820127</v>
      </c>
      <c r="P14" s="12">
        <f t="shared" si="7"/>
        <v>424.65753424657532</v>
      </c>
      <c r="Q14" s="13">
        <f t="shared" si="8"/>
        <v>13.698630136986301</v>
      </c>
      <c r="R14" s="12">
        <f t="shared" si="9"/>
        <v>-8.1203655301513891</v>
      </c>
      <c r="S14" s="14" t="str">
        <f t="shared" si="1"/>
        <v/>
      </c>
      <c r="T14" s="14">
        <f t="shared" si="2"/>
        <v>-0.26194727516617383</v>
      </c>
      <c r="V14" s="15">
        <v>45931</v>
      </c>
      <c r="W14" s="16">
        <v>329.4</v>
      </c>
      <c r="X14" s="16">
        <v>723.71</v>
      </c>
      <c r="Y14" s="16">
        <v>488.4</v>
      </c>
      <c r="AA14" s="17">
        <f t="shared" si="10"/>
        <v>535.15350000000001</v>
      </c>
      <c r="AB14" s="17" t="str">
        <f t="shared" si="3"/>
        <v/>
      </c>
      <c r="AD14" s="18">
        <f t="shared" si="11"/>
        <v>511.87</v>
      </c>
      <c r="AE14" s="17">
        <f t="shared" si="12"/>
        <v>4.1565715039185918</v>
      </c>
      <c r="AF14" s="17">
        <f t="shared" si="4"/>
        <v>32.13324020831665</v>
      </c>
    </row>
    <row r="15" spans="1:33" x14ac:dyDescent="0.2">
      <c r="A15" s="6"/>
      <c r="B15" s="6"/>
      <c r="I15" s="7">
        <v>0.13</v>
      </c>
      <c r="J15" s="8">
        <v>30</v>
      </c>
      <c r="K15" s="9" t="s">
        <v>11</v>
      </c>
      <c r="L15" s="10">
        <v>3.186378593053011E-2</v>
      </c>
      <c r="M15" s="11">
        <f t="shared" si="5"/>
        <v>8.2191780821917804E-2</v>
      </c>
      <c r="N15" s="12">
        <f t="shared" si="0"/>
        <v>167.28487613528307</v>
      </c>
      <c r="O15" s="13">
        <f t="shared" si="6"/>
        <v>5.5761625378427686</v>
      </c>
      <c r="P15" s="12">
        <f t="shared" si="7"/>
        <v>410.95890410958901</v>
      </c>
      <c r="Q15" s="13">
        <f t="shared" si="8"/>
        <v>13.698630136986301</v>
      </c>
      <c r="R15" s="12">
        <f t="shared" si="9"/>
        <v>-243.67402797430594</v>
      </c>
      <c r="S15" s="14" t="str">
        <f t="shared" si="1"/>
        <v/>
      </c>
      <c r="T15" s="14">
        <f t="shared" si="2"/>
        <v>-8.1224675991435316</v>
      </c>
      <c r="V15" s="15">
        <v>45597</v>
      </c>
      <c r="W15" s="20">
        <v>389.29</v>
      </c>
      <c r="X15" s="20">
        <v>887.12</v>
      </c>
      <c r="Y15" s="20">
        <v>589.33000000000004</v>
      </c>
      <c r="AA15" s="17">
        <f t="shared" si="10"/>
        <v>674.05200000000002</v>
      </c>
      <c r="AB15" s="17" t="str">
        <f t="shared" si="3"/>
        <v/>
      </c>
      <c r="AD15" s="18">
        <f t="shared" si="11"/>
        <v>574.75450000000001</v>
      </c>
      <c r="AE15" s="17">
        <f t="shared" si="12"/>
        <v>140.05274411135821</v>
      </c>
      <c r="AF15" s="17">
        <f t="shared" si="4"/>
        <v>58.044143077173658</v>
      </c>
    </row>
    <row r="16" spans="1:33" x14ac:dyDescent="0.2">
      <c r="A16" s="21" t="s">
        <v>57</v>
      </c>
      <c r="B16" s="22">
        <v>1.18E-2</v>
      </c>
      <c r="C16" s="6" t="s">
        <v>14</v>
      </c>
      <c r="I16" s="7">
        <v>0.15</v>
      </c>
      <c r="J16" s="8">
        <v>31</v>
      </c>
      <c r="K16" s="9" t="s">
        <v>12</v>
      </c>
      <c r="L16" s="10">
        <v>1.5846957626632439E-2</v>
      </c>
      <c r="M16" s="11">
        <f t="shared" si="5"/>
        <v>8.4931506849315067E-2</v>
      </c>
      <c r="N16" s="12">
        <f t="shared" si="0"/>
        <v>83.196527539820309</v>
      </c>
      <c r="O16" s="13">
        <f t="shared" si="6"/>
        <v>2.6837589528974295</v>
      </c>
      <c r="P16" s="12">
        <f t="shared" si="7"/>
        <v>424.65753424657532</v>
      </c>
      <c r="Q16" s="13">
        <f t="shared" si="8"/>
        <v>13.698630136986301</v>
      </c>
      <c r="R16" s="12">
        <f t="shared" si="9"/>
        <v>-341.46100670675503</v>
      </c>
      <c r="S16" s="14" t="str">
        <f t="shared" si="1"/>
        <v/>
      </c>
      <c r="T16" s="14">
        <f t="shared" si="2"/>
        <v>-11.014871184088872</v>
      </c>
      <c r="V16" s="15">
        <v>45627</v>
      </c>
      <c r="W16" s="20">
        <v>332.47</v>
      </c>
      <c r="X16" s="20">
        <v>648.47</v>
      </c>
      <c r="Y16" s="20">
        <v>500.73</v>
      </c>
      <c r="AA16" s="17">
        <f t="shared" si="10"/>
        <v>471.19950000000006</v>
      </c>
      <c r="AB16" s="17" t="str">
        <f t="shared" si="3"/>
        <v/>
      </c>
      <c r="AD16" s="18">
        <f t="shared" si="11"/>
        <v>515.09350000000006</v>
      </c>
      <c r="AE16" s="17">
        <f t="shared" si="12"/>
        <v>175.88434505810594</v>
      </c>
      <c r="AF16" s="17">
        <f t="shared" si="4"/>
        <v>68.800710737743046</v>
      </c>
    </row>
    <row r="17" spans="1:32" x14ac:dyDescent="0.2">
      <c r="A17" s="6"/>
      <c r="B17" s="22">
        <v>4.7E-2</v>
      </c>
      <c r="C17" s="6" t="s">
        <v>15</v>
      </c>
      <c r="I17" s="6"/>
      <c r="J17" s="6"/>
      <c r="K17" s="6"/>
      <c r="L17" s="6"/>
      <c r="M17" s="6"/>
      <c r="N17" s="6"/>
      <c r="O17" s="23"/>
      <c r="P17" s="6"/>
      <c r="Q17" s="6"/>
      <c r="R17" s="6"/>
      <c r="S17" s="6"/>
      <c r="T17" s="6"/>
      <c r="V17" s="6"/>
      <c r="W17" s="6"/>
      <c r="X17" s="6"/>
      <c r="Y17" s="6"/>
      <c r="AA17" s="6"/>
      <c r="AB17" s="6"/>
      <c r="AD17" s="6"/>
      <c r="AE17" s="6"/>
      <c r="AF17" s="6"/>
    </row>
    <row r="18" spans="1:32" x14ac:dyDescent="0.2">
      <c r="A18" s="6"/>
      <c r="B18" s="6"/>
      <c r="I18" s="6"/>
      <c r="J18" s="6"/>
      <c r="K18" s="6"/>
      <c r="L18" s="6"/>
      <c r="M18" s="6"/>
      <c r="N18" s="6"/>
      <c r="O18" s="23"/>
      <c r="P18" s="6"/>
      <c r="Q18" s="6"/>
      <c r="R18" s="6"/>
      <c r="S18" s="6"/>
      <c r="T18" s="6"/>
      <c r="V18" s="6"/>
      <c r="W18" s="6"/>
      <c r="X18" s="6"/>
      <c r="Y18" s="6"/>
      <c r="AA18" s="24" t="s">
        <v>37</v>
      </c>
      <c r="AB18" s="25">
        <f>SUM(AB5:AB16)</f>
        <v>422.10738123882589</v>
      </c>
      <c r="AD18" s="24" t="s">
        <v>39</v>
      </c>
      <c r="AE18" s="26">
        <f>SUM(AE5:AE16)</f>
        <v>603.40679358536772</v>
      </c>
      <c r="AF18" s="26">
        <f>SUM(AF5:AF16)</f>
        <v>492.40577541936165</v>
      </c>
    </row>
    <row r="19" spans="1:32" x14ac:dyDescent="0.2">
      <c r="A19" s="42" t="s">
        <v>47</v>
      </c>
      <c r="B19" s="4">
        <f>AB21</f>
        <v>-673.70518776590347</v>
      </c>
      <c r="I19" s="6"/>
      <c r="J19" s="6"/>
      <c r="K19" s="6"/>
      <c r="L19" s="6"/>
      <c r="M19" s="6"/>
      <c r="N19" s="6"/>
      <c r="O19" s="23"/>
      <c r="P19" s="6"/>
      <c r="Q19" s="6"/>
      <c r="R19" s="6"/>
      <c r="S19" s="6"/>
      <c r="T19" s="6"/>
      <c r="V19" s="6"/>
      <c r="W19" s="6"/>
      <c r="X19" s="6"/>
      <c r="Y19" s="6"/>
      <c r="AA19" s="6"/>
      <c r="AB19" s="6"/>
      <c r="AD19" s="46" t="s">
        <v>40</v>
      </c>
      <c r="AE19" s="46"/>
      <c r="AF19" s="26">
        <f>AE18+AF18</f>
        <v>1095.8125690047293</v>
      </c>
    </row>
    <row r="20" spans="1:32" x14ac:dyDescent="0.2">
      <c r="A20" s="42" t="s">
        <v>46</v>
      </c>
      <c r="B20" s="4">
        <f>B19/12</f>
        <v>-56.142098980491959</v>
      </c>
      <c r="I20" s="6"/>
      <c r="J20" s="6"/>
      <c r="K20" s="6"/>
      <c r="L20" s="6"/>
      <c r="M20" s="6"/>
      <c r="N20" s="6"/>
      <c r="O20" s="23"/>
      <c r="P20" s="6"/>
      <c r="Q20" s="6"/>
      <c r="R20" s="6"/>
      <c r="S20" s="6"/>
      <c r="T20" s="6"/>
      <c r="V20" s="6"/>
      <c r="W20" s="6"/>
      <c r="X20" s="6"/>
      <c r="Y20" s="6"/>
      <c r="AA20" s="6"/>
      <c r="AB20" s="6"/>
      <c r="AD20" s="6"/>
      <c r="AE20" s="6"/>
      <c r="AF20" s="6"/>
    </row>
    <row r="21" spans="1:32" hidden="1" x14ac:dyDescent="0.2">
      <c r="A21" s="6"/>
      <c r="B21" s="6"/>
      <c r="I21" s="6"/>
      <c r="J21" s="6"/>
      <c r="K21" s="6"/>
      <c r="L21" s="6"/>
      <c r="M21" s="6"/>
      <c r="N21" s="6"/>
      <c r="O21" s="23"/>
      <c r="P21" s="6"/>
      <c r="Q21" s="6"/>
      <c r="R21" s="6"/>
      <c r="S21" s="6"/>
      <c r="T21" s="6"/>
      <c r="V21" s="6"/>
      <c r="W21" s="6"/>
      <c r="X21" s="6"/>
      <c r="Y21" s="44" t="s">
        <v>47</v>
      </c>
      <c r="Z21" s="44"/>
      <c r="AA21" s="44"/>
      <c r="AB21" s="43">
        <f>AB18-AF19</f>
        <v>-673.70518776590347</v>
      </c>
      <c r="AD21" s="6"/>
      <c r="AE21" s="6"/>
      <c r="AF21" s="6"/>
    </row>
    <row r="22" spans="1:32" hidden="1" x14ac:dyDescent="0.2">
      <c r="A22" s="6"/>
      <c r="B22" s="6"/>
      <c r="I22" s="6"/>
      <c r="J22" s="6"/>
      <c r="K22" s="6"/>
      <c r="L22" s="6"/>
      <c r="M22" s="6"/>
      <c r="N22" s="6"/>
      <c r="O22" s="23"/>
      <c r="P22" s="6"/>
      <c r="Q22" s="6"/>
      <c r="R22" s="6"/>
      <c r="S22" s="6"/>
      <c r="T22" s="6"/>
      <c r="V22" s="6"/>
      <c r="W22" s="6"/>
      <c r="X22" s="6"/>
      <c r="Y22" s="44" t="s">
        <v>46</v>
      </c>
      <c r="Z22" s="44"/>
      <c r="AA22" s="44"/>
      <c r="AB22" s="43">
        <f>AB21/12</f>
        <v>-56.142098980491959</v>
      </c>
      <c r="AD22" s="6"/>
      <c r="AE22" s="6"/>
      <c r="AF22" s="6"/>
    </row>
    <row r="23" spans="1:32" x14ac:dyDescent="0.2">
      <c r="A23" s="6"/>
      <c r="B23" s="6"/>
      <c r="I23" s="6"/>
      <c r="J23" s="6"/>
      <c r="K23" s="6"/>
      <c r="L23" s="6"/>
      <c r="M23" s="6"/>
      <c r="N23" s="6"/>
      <c r="O23" s="23"/>
      <c r="P23" s="6"/>
      <c r="Q23" s="6"/>
      <c r="R23" s="6"/>
      <c r="S23" s="6"/>
      <c r="T23" s="6"/>
      <c r="V23" s="6"/>
      <c r="W23" s="6"/>
      <c r="X23" s="6"/>
      <c r="Y23" s="6"/>
      <c r="AA23" s="6"/>
      <c r="AB23" s="6"/>
      <c r="AD23" s="6"/>
      <c r="AE23" s="6"/>
      <c r="AF23" s="6"/>
    </row>
  </sheetData>
  <sheetProtection algorithmName="SHA-512" hashValue="NpK5mhRa65QTnoUuRO5nDIOHwTq+MG+56YfF3tBnJL21qBfnsemNGFHNI1+rKcWz3nW72muUEaltCn5SuKX3rw==" saltValue="lL8LpYcaUuKZVLE3KwIj6A==" spinCount="100000" sheet="1" objects="1" scenarios="1"/>
  <mergeCells count="6">
    <mergeCell ref="Y22:AA22"/>
    <mergeCell ref="AD2:AF3"/>
    <mergeCell ref="AA2:AB3"/>
    <mergeCell ref="W2:Y3"/>
    <mergeCell ref="AD19:AE19"/>
    <mergeCell ref="Y21:AA21"/>
  </mergeCells>
  <conditionalFormatting sqref="B19:B20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R5:R16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AB21:AB22">
    <cfRule type="cellIs" dxfId="1" priority="5" operator="lessThan">
      <formula>0</formula>
    </cfRule>
    <cfRule type="cellIs" dxfId="0" priority="6" operator="greaterThan">
      <formula>0</formula>
    </cfRule>
  </conditionalFormatting>
  <dataValidations count="2">
    <dataValidation type="list" allowBlank="1" showInputMessage="1" showErrorMessage="1" sqref="B5" xr:uid="{F4EC71FB-C417-4A76-9D51-E757281791EC}">
      <formula1>"PC,bez PC"</formula1>
    </dataValidation>
    <dataValidation type="list" allowBlank="1" showInputMessage="1" showErrorMessage="1" sqref="B8" xr:uid="{1CFB89EB-22F9-40B3-91C3-AADE2B171FBF}">
      <formula1>"południe, wschód-zachód"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Orzeł</dc:creator>
  <cp:lastModifiedBy>Grzegorz Furmann</cp:lastModifiedBy>
  <dcterms:created xsi:type="dcterms:W3CDTF">2025-11-13T13:38:03Z</dcterms:created>
  <dcterms:modified xsi:type="dcterms:W3CDTF">2025-11-24T08:01:23Z</dcterms:modified>
</cp:coreProperties>
</file>